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56A8624-8493-4675-BD1A-89D34D62CB13}" xr6:coauthVersionLast="47" xr6:coauthVersionMax="47" xr10:uidLastSave="{00000000-0000-0000-0000-000000000000}"/>
  <bookViews>
    <workbookView xWindow="1860" yWindow="1860" windowWidth="14400" windowHeight="8170" tabRatio="500" xr2:uid="{00000000-000D-0000-FFFF-FFFF00000000}"/>
  </bookViews>
  <sheets>
    <sheet name="EMA Crossover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B20" i="1" s="1"/>
  <c r="B18" i="1"/>
  <c r="F16" i="1"/>
  <c r="F15" i="1"/>
  <c r="F14" i="1"/>
  <c r="F13" i="1"/>
  <c r="F12" i="1"/>
  <c r="F11" i="1"/>
  <c r="F10" i="1"/>
  <c r="F9" i="1"/>
  <c r="F8" i="1"/>
  <c r="F7" i="1"/>
  <c r="B22" i="1" s="1"/>
  <c r="F6" i="1"/>
  <c r="F5" i="1"/>
  <c r="B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Flag: this entry date came out of a script with only 12 months of price history, so the EMAs start from scratch and can show a false early crossover. A live TradingView chart has years of prior data already feeding the EMAs, so re-check this specific date against your own chart before trusting it.</t>
        </r>
      </text>
    </comment>
  </commentList>
</comments>
</file>

<file path=xl/sharedStrings.xml><?xml version="1.0" encoding="utf-8"?>
<sst xmlns="http://schemas.openxmlformats.org/spreadsheetml/2006/main" count="18" uniqueCount="18">
  <si>
    <t>20/50 EMA Crossover Backtest — Trade Log</t>
  </si>
  <si>
    <t>Trade #</t>
  </si>
  <si>
    <t>Entry Date</t>
  </si>
  <si>
    <t>Entry Price</t>
  </si>
  <si>
    <t>Exit Date</t>
  </si>
  <si>
    <t>Exit Price</t>
  </si>
  <si>
    <t>P&amp;L %</t>
  </si>
  <si>
    <t>2025-09-02</t>
  </si>
  <si>
    <t>2026-01-15</t>
  </si>
  <si>
    <t>2026-05-06</t>
  </si>
  <si>
    <t>2026-05-14</t>
  </si>
  <si>
    <t>Summary</t>
  </si>
  <si>
    <t>Total trades</t>
  </si>
  <si>
    <t>Number of winners</t>
  </si>
  <si>
    <t>Win rate</t>
  </si>
  <si>
    <t>Largest single winner</t>
  </si>
  <si>
    <t>Largest single loser</t>
  </si>
  <si>
    <t xml:space="preserve">Instrument: RELIANCE.NS   |   Period: last 12 months 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</si>
</sst>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%;\-0.00%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A26" sqref="A26"/>
    </sheetView>
  </sheetViews>
  <sheetFormatPr defaultColWidth="8.6328125" defaultRowHeight="14.5" x14ac:dyDescent="0.35"/>
  <cols>
    <col min="1" max="1" width="10" customWidth="1"/>
    <col min="2" max="5" width="13" customWidth="1"/>
    <col min="6" max="6" width="10" customWidth="1"/>
  </cols>
  <sheetData>
    <row r="1" spans="1:6" ht="18" x14ac:dyDescent="0.4">
      <c r="A1" s="10" t="s">
        <v>0</v>
      </c>
      <c r="B1" s="10"/>
      <c r="C1" s="10"/>
      <c r="D1" s="10"/>
      <c r="E1" s="10"/>
      <c r="F1" s="10"/>
    </row>
    <row r="2" spans="1:6" x14ac:dyDescent="0.35">
      <c r="A2" s="11" t="s">
        <v>17</v>
      </c>
      <c r="B2" s="11"/>
      <c r="C2" s="11"/>
      <c r="D2" s="11"/>
      <c r="E2" s="11"/>
      <c r="F2" s="11"/>
    </row>
    <row r="4" spans="1:6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5">
      <c r="A5" s="2">
        <v>1</v>
      </c>
      <c r="B5" s="3" t="s">
        <v>7</v>
      </c>
      <c r="C5" s="4">
        <v>1366.5</v>
      </c>
      <c r="D5" s="3" t="s">
        <v>8</v>
      </c>
      <c r="E5" s="4">
        <v>1458.8</v>
      </c>
      <c r="F5" s="5">
        <f t="shared" ref="F5:F16" si="0">IFERROR((E5-C5)/C5,"")</f>
        <v>6.7544822539334026E-2</v>
      </c>
    </row>
    <row r="6" spans="1:6" x14ac:dyDescent="0.35">
      <c r="A6" s="2">
        <v>2</v>
      </c>
      <c r="B6" s="3" t="s">
        <v>9</v>
      </c>
      <c r="C6" s="4">
        <v>1437.9</v>
      </c>
      <c r="D6" s="3" t="s">
        <v>10</v>
      </c>
      <c r="E6" s="4">
        <v>1361.8</v>
      </c>
      <c r="F6" s="5">
        <f t="shared" si="0"/>
        <v>-5.2924403644203442E-2</v>
      </c>
    </row>
    <row r="7" spans="1:6" x14ac:dyDescent="0.35">
      <c r="A7" s="2">
        <v>3</v>
      </c>
      <c r="B7" s="3"/>
      <c r="C7" s="4"/>
      <c r="D7" s="3"/>
      <c r="E7" s="4"/>
      <c r="F7" s="5" t="str">
        <f t="shared" si="0"/>
        <v/>
      </c>
    </row>
    <row r="8" spans="1:6" x14ac:dyDescent="0.35">
      <c r="A8" s="2">
        <v>4</v>
      </c>
      <c r="B8" s="3"/>
      <c r="C8" s="4"/>
      <c r="D8" s="3"/>
      <c r="E8" s="4"/>
      <c r="F8" s="5" t="str">
        <f t="shared" si="0"/>
        <v/>
      </c>
    </row>
    <row r="9" spans="1:6" x14ac:dyDescent="0.35">
      <c r="A9" s="2">
        <v>5</v>
      </c>
      <c r="B9" s="3"/>
      <c r="C9" s="4"/>
      <c r="D9" s="3"/>
      <c r="E9" s="4"/>
      <c r="F9" s="5" t="str">
        <f t="shared" si="0"/>
        <v/>
      </c>
    </row>
    <row r="10" spans="1:6" x14ac:dyDescent="0.35">
      <c r="A10" s="2">
        <v>6</v>
      </c>
      <c r="B10" s="3"/>
      <c r="C10" s="4"/>
      <c r="D10" s="3"/>
      <c r="E10" s="4"/>
      <c r="F10" s="5" t="str">
        <f t="shared" si="0"/>
        <v/>
      </c>
    </row>
    <row r="11" spans="1:6" x14ac:dyDescent="0.35">
      <c r="A11" s="2">
        <v>7</v>
      </c>
      <c r="B11" s="3"/>
      <c r="C11" s="4"/>
      <c r="D11" s="3"/>
      <c r="E11" s="4"/>
      <c r="F11" s="5" t="str">
        <f t="shared" si="0"/>
        <v/>
      </c>
    </row>
    <row r="12" spans="1:6" x14ac:dyDescent="0.35">
      <c r="A12" s="2">
        <v>8</v>
      </c>
      <c r="B12" s="3"/>
      <c r="C12" s="4"/>
      <c r="D12" s="3"/>
      <c r="E12" s="4"/>
      <c r="F12" s="5" t="str">
        <f t="shared" si="0"/>
        <v/>
      </c>
    </row>
    <row r="13" spans="1:6" x14ac:dyDescent="0.35">
      <c r="A13" s="2">
        <v>9</v>
      </c>
      <c r="B13" s="3"/>
      <c r="C13" s="4"/>
      <c r="D13" s="3"/>
      <c r="E13" s="4"/>
      <c r="F13" s="5" t="str">
        <f t="shared" si="0"/>
        <v/>
      </c>
    </row>
    <row r="14" spans="1:6" x14ac:dyDescent="0.35">
      <c r="A14" s="2">
        <v>10</v>
      </c>
      <c r="B14" s="3"/>
      <c r="C14" s="4"/>
      <c r="D14" s="3"/>
      <c r="E14" s="4"/>
      <c r="F14" s="5" t="str">
        <f t="shared" si="0"/>
        <v/>
      </c>
    </row>
    <row r="15" spans="1:6" x14ac:dyDescent="0.35">
      <c r="A15" s="2">
        <v>11</v>
      </c>
      <c r="B15" s="3"/>
      <c r="C15" s="4"/>
      <c r="D15" s="3"/>
      <c r="E15" s="4"/>
      <c r="F15" s="5" t="str">
        <f t="shared" si="0"/>
        <v/>
      </c>
    </row>
    <row r="16" spans="1:6" x14ac:dyDescent="0.35">
      <c r="A16" s="2">
        <v>12</v>
      </c>
      <c r="B16" s="3"/>
      <c r="C16" s="4"/>
      <c r="D16" s="3"/>
      <c r="E16" s="4"/>
      <c r="F16" s="5" t="str">
        <f t="shared" si="0"/>
        <v/>
      </c>
    </row>
    <row r="17" spans="1:6" x14ac:dyDescent="0.35">
      <c r="A17" s="6" t="s">
        <v>11</v>
      </c>
    </row>
    <row r="18" spans="1:6" x14ac:dyDescent="0.35">
      <c r="A18" s="7" t="s">
        <v>12</v>
      </c>
      <c r="B18" s="6">
        <f>COUNT(C5:C16)</f>
        <v>2</v>
      </c>
    </row>
    <row r="19" spans="1:6" x14ac:dyDescent="0.35">
      <c r="A19" s="7" t="s">
        <v>13</v>
      </c>
      <c r="B19" s="6">
        <f>COUNTIF(F5:F16,"&gt;0")</f>
        <v>1</v>
      </c>
    </row>
    <row r="20" spans="1:6" x14ac:dyDescent="0.35">
      <c r="A20" s="7" t="s">
        <v>14</v>
      </c>
      <c r="B20" s="8">
        <f>IFERROR(B19/B18,"")</f>
        <v>0.5</v>
      </c>
    </row>
    <row r="21" spans="1:6" x14ac:dyDescent="0.35">
      <c r="A21" s="7" t="s">
        <v>15</v>
      </c>
      <c r="B21" s="9">
        <f>IFERROR(MAX(F5:F16),"")</f>
        <v>6.7544822539334026E-2</v>
      </c>
    </row>
    <row r="22" spans="1:6" x14ac:dyDescent="0.35">
      <c r="A22" s="7" t="s">
        <v>16</v>
      </c>
      <c r="B22" s="9">
        <f>IFERROR(MIN(F5:F16),"")</f>
        <v>-5.2924403644203442E-2</v>
      </c>
    </row>
    <row r="25" spans="1:6" x14ac:dyDescent="0.35">
      <c r="A25" s="11"/>
      <c r="B25" s="11"/>
      <c r="C25" s="11"/>
      <c r="D25" s="11"/>
      <c r="E25" s="11"/>
      <c r="F25" s="11"/>
    </row>
  </sheetData>
  <mergeCells count="3">
    <mergeCell ref="A1:F1"/>
    <mergeCell ref="A2:F2"/>
    <mergeCell ref="A25:F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 Crossover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LAKSHITA SHERAWAT - 261090060078 - MITMPL</cp:lastModifiedBy>
  <cp:revision>0</cp:revision>
  <dcterms:created xsi:type="dcterms:W3CDTF">2026-09-04T08:05:41Z</dcterms:created>
  <dcterms:modified xsi:type="dcterms:W3CDTF">2026-09-07T21:30:22Z</dcterms:modified>
  <dc:language>en-US</dc:language>
</cp:coreProperties>
</file>